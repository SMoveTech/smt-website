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Analysis" sheetId="1" state="visible" r:id="rId1"/>
    <sheet xmlns:r="http://schemas.openxmlformats.org/officeDocument/2006/relationships" name="Comparable ELC Aw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;(£#,##0);&quot;-&quot;"/>
    <numFmt numFmtId="165" formatCode="£#,##0.00"/>
    <numFmt numFmtId="166" formatCode="0.0%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b val="1"/>
    </font>
    <font>
      <name val="Arial"/>
      <color rgb="00000000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714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" fontId="6" fillId="0" borderId="0" pivotButton="0" quotePrefix="0" xfId="0"/>
    <xf numFmtId="164" fontId="4" fillId="0" borderId="0" pivotButton="0" quotePrefix="0" xfId="0"/>
    <xf numFmtId="165" fontId="6" fillId="0" borderId="0" pivotButton="0" quotePrefix="0" xfId="0"/>
    <xf numFmtId="164" fontId="5" fillId="0" borderId="0" pivotButton="0" quotePrefix="0" xfId="0"/>
    <xf numFmtId="166" fontId="6" fillId="0" borderId="0" pivotButton="0" quotePrefix="0" xfId="0"/>
    <xf numFmtId="167" fontId="5" fillId="0" borderId="0" pivotButton="0" quotePrefix="0" xfId="0"/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16" customWidth="1" min="2" max="2"/>
    <col width="62" customWidth="1" min="3" max="3"/>
  </cols>
  <sheetData>
    <row r="1">
      <c r="A1" s="1" t="inlineStr">
        <is>
          <t>S-Move Dealer — Expenditure Analysis &amp; Funding Ask</t>
        </is>
      </c>
    </row>
    <row r="2">
      <c r="A2" s="2" t="inlineStr">
        <is>
          <t>Prepared 2026-08-04, revised same day with Alex's real current-cost figures. Blue cells are editable assumptions — change any of them and every total recalculates.</t>
        </is>
      </c>
    </row>
    <row r="4">
      <c r="A4" s="3" t="inlineStr">
        <is>
          <t>1. CURRENT MONTHLY COST — self-funded, solo, low-cost build</t>
        </is>
      </c>
      <c r="B4" s="4" t="n"/>
      <c r="C4" s="4" t="n"/>
    </row>
    <row r="5">
      <c r="A5" s="5" t="inlineStr">
        <is>
          <t>Item</t>
        </is>
      </c>
      <c r="B5" s="5" t="inlineStr">
        <is>
          <t>Monthly (£)</t>
        </is>
      </c>
      <c r="C5" s="5" t="inlineStr">
        <is>
          <t>Notes / source</t>
        </is>
      </c>
    </row>
    <row r="6">
      <c r="A6" s="6" t="inlineStr">
        <is>
          <t>App/infra base cost (Supabase + Railway)</t>
        </is>
      </c>
      <c r="B6" s="7" t="n">
        <v>200</v>
      </c>
      <c r="C6" s="2" t="inlineStr">
        <is>
          <t>Baseline from Dealer Scaling &amp; Cost Plan.md and the Sponsored Pricing Forecaster's own default (£60–350/mo range as the platform grows). Claude/Twilio/domains now broken out separately below — this row is infra hosting only.</t>
        </is>
      </c>
    </row>
    <row r="7">
      <c r="A7" s="6" t="inlineStr">
        <is>
          <t>Live businesses on the platform today</t>
        </is>
      </c>
      <c r="B7" s="8" t="n">
        <v>5</v>
      </c>
      <c r="C7" s="2" t="inlineStr">
        <is>
          <t>Current seller count (checked directly against the database, 4 Aug 2026).</t>
        </is>
      </c>
    </row>
    <row r="8">
      <c r="A8" s="6" t="inlineStr">
        <is>
          <t>Marginal infra cost per business / mo</t>
        </is>
      </c>
      <c r="B8" s="7" t="n">
        <v>2</v>
      </c>
      <c r="C8" s="2" t="inlineStr">
        <is>
          <t>Per-business egress/compute cost, per the same cost plan.</t>
        </is>
      </c>
    </row>
    <row r="9">
      <c r="A9" s="6" t="inlineStr">
        <is>
          <t>Anthropic / Claude (API usage + any Claude subscription)</t>
        </is>
      </c>
      <c r="B9" s="7" t="n">
        <v>197</v>
      </c>
      <c r="C9" s="2" t="inlineStr">
        <is>
          <t>Confirmed by Alex, 2026-08-04, from the Anthropic console billing page.</t>
        </is>
      </c>
    </row>
    <row r="10">
      <c r="A10" s="6" t="inlineStr">
        <is>
          <t>Twilio (SMS/voice — SMD's own account, phone-OTP verification)</t>
        </is>
      </c>
      <c r="B10" s="7" t="n">
        <v>10</v>
      </c>
      <c r="C10" s="2" t="inlineStr">
        <is>
          <t>Confirmed by Alex, 2026-08-04, from the Twilio console billing page. Admin alerts route over SMO's Twilio number separately and aren't part of this cost.</t>
        </is>
      </c>
    </row>
    <row r="11">
      <c r="A11" s="6" t="inlineStr">
        <is>
          <t>Domain registration(s), amortised monthly</t>
        </is>
      </c>
      <c r="B11" s="7" t="n">
        <v>10</v>
      </c>
      <c r="C11" s="2" t="inlineStr">
        <is>
          <t>Confirmed by Alex, 2026-08-04. Excludes hosting paid to Alex's web developer for the separate S-Move Removals (SMR) website — that cost sits with SMR, not SMD/SMT.</t>
        </is>
      </c>
    </row>
    <row r="12">
      <c r="A12" s="6" t="inlineStr">
        <is>
          <t>Google Maps / Places API (address autocomplete)</t>
        </is>
      </c>
      <c r="B12" s="7" t="n">
        <v>1</v>
      </c>
      <c r="C12" s="2" t="inlineStr">
        <is>
          <t>Confirmed by Alex, 2026-08-04, from the Google Cloud billing console.</t>
        </is>
      </c>
    </row>
    <row r="13">
      <c r="A13" s="6" t="inlineStr">
        <is>
          <t>Meta Verified subscription (Instagram/Facebook business verification, for advertising)</t>
        </is>
      </c>
      <c r="B13" s="7" t="n">
        <v>40</v>
      </c>
      <c r="C13" s="2" t="inlineStr">
        <is>
          <t>Confirmed by Alex, 2026-08-04 — flat £40/mo.</t>
        </is>
      </c>
    </row>
    <row r="14">
      <c r="A14" s="6" t="inlineStr">
        <is>
          <t>Social media reel/video production (Grok + Veo, combined)</t>
        </is>
      </c>
      <c r="B14" s="7" t="n">
        <v>42.09</v>
      </c>
      <c r="C14" s="2" t="inlineStr">
        <is>
          <t>Confirmed by Alex, 2026-08-04 — actual cost of the most recent 1-minute reel; one planned per month, so this is used as the ongoing monthly estimate.</t>
        </is>
      </c>
    </row>
    <row r="15">
      <c r="A15" s="5" t="inlineStr">
        <is>
          <t>Total infra + services cost / mo</t>
        </is>
      </c>
      <c r="B15" s="9">
        <f>B6+B7*B8+B9+B10+B11+B12+B13+B14</f>
        <v/>
      </c>
    </row>
    <row r="16">
      <c r="A16" s="6" t="inlineStr">
        <is>
          <t>Alex's current salary / draw from S-Move Dealer</t>
        </is>
      </c>
      <c r="B16" s="7" t="n">
        <v>0</v>
      </c>
      <c r="C16" s="2" t="inlineStr">
        <is>
          <t>Self-funded from personal pocket — no draw taken to date.</t>
        </is>
      </c>
    </row>
    <row r="17">
      <c r="A17" s="5" t="inlineStr">
        <is>
          <t>TOTAL CURRENT MONTHLY COST</t>
        </is>
      </c>
      <c r="B17" s="9">
        <f>B15+B16</f>
        <v/>
      </c>
      <c r="C17" s="2" t="inlineStr">
        <is>
          <t>Built from Alex's actual current bills, not a generic planning estimate.</t>
        </is>
      </c>
    </row>
    <row r="19">
      <c r="A19" s="3" t="inlineStr">
        <is>
          <t>2. WHAT MODEST FUNDING WOULD ADD</t>
        </is>
      </c>
      <c r="B19" s="4" t="n"/>
      <c r="C19" s="4" t="n"/>
    </row>
    <row r="20">
      <c r="A20" s="5" t="inlineStr">
        <is>
          <t>Item</t>
        </is>
      </c>
      <c r="B20" s="5" t="inlineStr">
        <is>
          <t>Monthly (£)</t>
        </is>
      </c>
      <c r="C20" s="5" t="inlineStr">
        <is>
          <t>Assumption</t>
        </is>
      </c>
    </row>
    <row r="22">
      <c r="A22" s="6" t="inlineStr">
        <is>
          <t>Support staff — headcount</t>
        </is>
      </c>
      <c r="B22" s="8" t="n">
        <v>2</v>
      </c>
      <c r="C22" s="2" t="inlineStr">
        <is>
          <t>2 part-time support roles (onboarding help, listing moderation, shopper support).</t>
        </is>
      </c>
    </row>
    <row r="23">
      <c r="A23" s="6" t="inlineStr">
        <is>
          <t>Hours / week, each</t>
        </is>
      </c>
      <c r="B23" s="8" t="n">
        <v>20</v>
      </c>
      <c r="C23" s="2" t="inlineStr">
        <is>
          <t>Part-time — modest, not 2 full-time hires.</t>
        </is>
      </c>
    </row>
    <row r="24">
      <c r="A24" s="6" t="inlineStr">
        <is>
          <t>Hourly rate (£)</t>
        </is>
      </c>
      <c r="B24" s="10" t="n">
        <v>13</v>
      </c>
      <c r="C24" s="2" t="inlineStr">
        <is>
          <t>Just above National Living Wage.</t>
        </is>
      </c>
    </row>
    <row r="25">
      <c r="A25" s="6" t="inlineStr">
        <is>
          <t>Gross pay per staff member / mo</t>
        </is>
      </c>
      <c r="B25" s="11">
        <f>B23*B24*52/12</f>
        <v/>
      </c>
      <c r="C25" s="6" t="inlineStr">
        <is>
          <t>Formula: hours/wk × rate × 52 ÷ 12</t>
        </is>
      </c>
    </row>
    <row r="26">
      <c r="A26" s="6" t="inlineStr">
        <is>
          <t>Employer NI + pension uplift</t>
        </is>
      </c>
      <c r="B26" s="12" t="n">
        <v>0.15</v>
      </c>
      <c r="C26" s="2" t="inlineStr">
        <is>
          <t>Approximate employer's National Insurance + auto-enrolment pension on top of gross pay.</t>
        </is>
      </c>
    </row>
    <row r="27">
      <c r="A27" s="6" t="inlineStr">
        <is>
          <t>Fully-loaded cost per staff member / mo</t>
        </is>
      </c>
      <c r="B27" s="11">
        <f>B25*(1+B26)</f>
        <v/>
      </c>
    </row>
    <row r="28">
      <c r="A28" s="5" t="inlineStr">
        <is>
          <t>TOTAL SUPPORT STAFF COST / MO</t>
        </is>
      </c>
      <c r="B28" s="9">
        <f>B27*B22</f>
        <v/>
      </c>
    </row>
    <row r="30">
      <c r="A30" s="6" t="inlineStr">
        <is>
          <t>Advertising &amp; marketing campaign / mo</t>
        </is>
      </c>
      <c r="B30" s="7" t="n">
        <v>600</v>
      </c>
      <c r="C30" s="2" t="inlineStr">
        <is>
          <t>A modest, local paid-social + local-press awareness campaign across Edinburgh &amp; the Lothians — not a national ad spend.</t>
        </is>
      </c>
    </row>
    <row r="31">
      <c r="A31" s="6" t="inlineStr">
        <is>
          <t>Alex — personal time-buy-back stipend / mo</t>
        </is>
      </c>
      <c r="B31" s="7" t="n">
        <v>1200</v>
      </c>
      <c r="C31" s="2" t="inlineStr">
        <is>
          <t>A modest top-up, NOT a full director's salary — enough to justify shifting some hours from S-Move Removals into S-Move Dealer without financial strain.</t>
        </is>
      </c>
    </row>
    <row r="32">
      <c r="A32" s="6" t="inlineStr">
        <is>
          <t>Infra growth headroom / mo</t>
        </is>
      </c>
      <c r="B32" s="7" t="n">
        <v>100</v>
      </c>
      <c r="C32" s="2" t="inlineStr">
        <is>
          <t>Extra hosting/AI/messaging capacity as the seller base grows during the funded push.</t>
        </is>
      </c>
    </row>
    <row r="33">
      <c r="A33" s="5" t="inlineStr">
        <is>
          <t>TOTAL NEW MONTHLY ASK (additions only)</t>
        </is>
      </c>
      <c r="B33" s="9">
        <f>B28+B30+B31+B32</f>
        <v/>
      </c>
    </row>
    <row r="35">
      <c r="A35" s="5" t="inlineStr">
        <is>
          <t>TOTAL MONTHLY COST WITH FUNDING (current + new)</t>
        </is>
      </c>
      <c r="B35" s="9">
        <f>B17+B33</f>
        <v/>
      </c>
      <c r="C35" s="2" t="inlineStr">
        <is>
          <t>The funding ask itself (Section 3) is the NEW total only — Alex keeps covering the current running cost himself either way, once that figure is complete.</t>
        </is>
      </c>
    </row>
    <row r="37">
      <c r="A37" s="3" t="inlineStr">
        <is>
          <t>3. RECOMMENDED TOTAL ASK — sized to the grant ceiling, checked against a proposed match-funding route</t>
        </is>
      </c>
      <c r="B37" s="4" t="n"/>
      <c r="C37" s="4" t="n"/>
    </row>
    <row r="38">
      <c r="A38" s="5" t="inlineStr">
        <is>
          <t>Item</t>
        </is>
      </c>
      <c r="B38" s="5" t="inlineStr">
        <is>
          <t>Value</t>
        </is>
      </c>
      <c r="C38" s="5" t="inlineStr">
        <is>
          <t>Notes</t>
        </is>
      </c>
    </row>
    <row r="39">
      <c r="A39" s="6" t="inlineStr">
        <is>
          <t>Target total funding ask (£)</t>
        </is>
      </c>
      <c r="B39" s="7" t="n">
        <v>35000</v>
      </c>
      <c r="C39" s="2" t="inlineStr">
        <is>
          <t>Set to East Lothian's Business Growth &amp; Innovation Capital Grant maximum — see the Comparable ELC Awards tab. Edit this to test other scenarios.</t>
        </is>
      </c>
    </row>
    <row r="40">
      <c r="A40" s="6" t="inlineStr">
        <is>
          <t>Equivalent months of runway this funds</t>
        </is>
      </c>
      <c r="B40" s="13">
        <f>B39/B33</f>
        <v/>
      </c>
      <c r="C40" s="6" t="inlineStr">
        <is>
          <t>Formula: target ask ÷ total new monthly ask — how much real, itemised time this buys, not a round number picked for effect.</t>
        </is>
      </c>
    </row>
    <row r="41">
      <c r="A41" s="6" t="inlineStr">
        <is>
          <t>Match funding required — conservative reading (20% of TOTAL project cost)</t>
        </is>
      </c>
      <c r="B41" s="11">
        <f>B39*0.25</f>
        <v/>
      </c>
      <c r="C41" s="2" t="inlineStr">
        <is>
          <t>If match = 20% of (grant + match), required match = 25% of the grant. Worst-case reading — confirm the exact definition in the scheme guidance before relying on it.</t>
        </is>
      </c>
    </row>
    <row r="42">
      <c r="A42" s="6" t="inlineStr">
        <is>
          <t>Match funding — proposed route, NOT YET COMMITTED (SMR → SMT investment)</t>
        </is>
      </c>
      <c r="B42" s="7" t="n">
        <v>9000</v>
      </c>
      <c r="C42" s="2" t="inlineStr">
        <is>
          <t>Available to SMR right now, just not yet transferred to SMT. Would be 0% interest to SMT. SMR can only actually make this investment once a firm repayment plan is agreed — SMR's own finances can't absorb a missed payment on its own credit line. Treat as an identified pathway, not cash already set aside.</t>
        </is>
      </c>
    </row>
    <row r="43">
      <c r="A43" s="6" t="inlineStr">
        <is>
          <t>Would this route be sufficient, if committed?</t>
        </is>
      </c>
      <c r="B43" s="6">
        <f>IF(B42&gt;=B41,"Yes, if committed — £"&amp;TEXT(B42-B41,"#,##0")&amp;" spare","No — short by £"&amp;TEXT(B41-B42,"#,##0"))</f>
        <v/>
      </c>
      <c r="C43" s="6" t="inlineStr">
        <is>
          <t>Checked against the conservative (higher) match requirement above. This answers 'would it be enough', not 'is it available today'.</t>
        </is>
      </c>
    </row>
    <row r="45">
      <c r="A45" s="6" t="inlineStr">
        <is>
          <t>For reference — 6-month new-package cost</t>
        </is>
      </c>
      <c r="B45" s="11">
        <f>B33*6</f>
        <v/>
      </c>
    </row>
    <row r="46">
      <c r="A46" s="6" t="inlineStr">
        <is>
          <t>For reference — 12-month new-package cost</t>
        </is>
      </c>
      <c r="B46" s="11">
        <f>B33*12</f>
        <v/>
      </c>
    </row>
    <row r="48">
      <c r="A48" s="2" t="inlineStr">
        <is>
          <t>Why £35,000 and not less: this is the scheme's own stated ceiling, and it equals ~7.8 months of genuinely itemised need (not a round number). Match funding is a proposed, not-yet-committed route — see above — so match-funding timing/certainty should be raised directly with the Council before relying on this figure. Why not more: nothing here exceeds real, costed need — see the Comparable ELC Awards tab for how this compares to what the Council actually approves.</t>
        </is>
      </c>
    </row>
  </sheetData>
  <mergeCells count="3">
    <mergeCell ref="A4:C4"/>
    <mergeCell ref="A19:C19"/>
    <mergeCell ref="A37:C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</cols>
  <sheetData>
    <row r="1">
      <c r="A1" s="1" t="inlineStr">
        <is>
          <t>What East Lothian Council actually funds — for context</t>
        </is>
      </c>
    </row>
    <row r="2">
      <c r="A2" s="2" t="inlineStr">
        <is>
          <t>Researched 2026-08-04 from published Council/press sources. This is precedent, not a guarantee any specific scheme applies.</t>
        </is>
      </c>
    </row>
    <row r="4">
      <c r="A4" s="5" t="inlineStr">
        <is>
          <t>Scheme</t>
        </is>
      </c>
      <c r="B4" s="5" t="inlineStr">
        <is>
          <t>Typical award</t>
        </is>
      </c>
      <c r="C4" s="5" t="inlineStr">
        <is>
          <t>Example / source</t>
        </is>
      </c>
    </row>
    <row r="5">
      <c r="A5" s="6" t="inlineStr">
        <is>
          <t>New Business Support Grant</t>
        </is>
      </c>
      <c r="B5" s="14" t="inlineStr">
        <is>
          <t>up to £1,000</t>
        </is>
      </c>
      <c r="C5" s="2" t="inlineStr">
        <is>
          <t>Newly self-employed / newly incorporated companies</t>
        </is>
      </c>
    </row>
    <row r="6">
      <c r="A6" s="6" t="inlineStr">
        <is>
          <t>East Lothian Investments Ltd Young Entrepreneur Award</t>
        </is>
      </c>
      <c r="B6" s="14" t="inlineStr">
        <is>
          <t>£1,500</t>
        </is>
      </c>
      <c r="C6" s="2" t="inlineStr">
        <is>
          <t>Sam Stevenson, SS Coaching (Tranent), 2024 — East Lothian Courier</t>
        </is>
      </c>
    </row>
    <row r="7">
      <c r="A7" s="6" t="inlineStr">
        <is>
          <t>UKSPF Skills Fund</t>
        </is>
      </c>
      <c r="B7" s="14" t="inlineStr">
        <is>
          <t>£1,000–£5,000</t>
        </is>
      </c>
      <c r="C7" s="2" t="inlineStr">
        <is>
          <t>Revenue grant for employer skills/training projects</t>
        </is>
      </c>
    </row>
    <row r="8">
      <c r="A8" s="6" t="inlineStr">
        <is>
          <t>Business Growth &amp; Sustainability Grant</t>
        </is>
      </c>
      <c r="B8" s="14" t="inlineStr">
        <is>
          <t>£5,000–£20,000</t>
        </is>
      </c>
      <c r="C8" s="2" t="inlineStr">
        <is>
          <t>Per applicant business</t>
        </is>
      </c>
    </row>
    <row r="9">
      <c r="A9" s="6" t="inlineStr">
        <is>
          <t>Community Intervention Fund (capital)</t>
        </is>
      </c>
      <c r="B9" s="14" t="inlineStr">
        <is>
          <t>£4,500–£50,000 per project</t>
        </is>
      </c>
      <c r="C9" s="2" t="inlineStr">
        <is>
          <t>8 organisations shared £172,782 in 2025 — East Lothian Indoor Bowling Club £4,500 up to The Ridge SCIO (Dunbar High Street) £50,000</t>
        </is>
      </c>
    </row>
    <row r="10">
      <c r="A10" s="6" t="inlineStr">
        <is>
          <t>Local event funding</t>
        </is>
      </c>
      <c r="B10" s="14" t="inlineStr">
        <is>
          <t>£20,000 each</t>
        </is>
      </c>
      <c r="C10" s="2" t="inlineStr">
        <is>
          <t>Fringe by the Sea, Lammermuir Festival, Gosford Winter Wonderland</t>
        </is>
      </c>
    </row>
    <row r="11">
      <c r="A11" s="6" t="inlineStr">
        <is>
          <t>Business Growth &amp; Innovation Capital Grant</t>
        </is>
      </c>
      <c r="B11" s="14" t="inlineStr">
        <is>
          <t>£15,000–£35,000</t>
        </is>
      </c>
      <c r="C11" s="2" t="inlineStr">
        <is>
          <t>Requires 20% match funding; may require 5+ employees or evidenced job creation</t>
        </is>
      </c>
    </row>
    <row r="13">
      <c r="A13" s="5" t="inlineStr">
        <is>
          <t>Our target ask</t>
        </is>
      </c>
      <c r="B13" s="5" t="inlineStr">
        <is>
          <t>£35,000</t>
        </is>
      </c>
      <c r="C13" s="2" t="inlineStr">
        <is>
          <t>Sits exactly at the top of the Business Growth &amp; Innovation Capital Grant band, and within the real range the Community Intervention Fund pays out per project. Not unusually large or small for this Council.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2026-08-04T17:27:07Z</dcterms:created>
  <dcterms:modified xmlns:dcterms="http://purl.org/dc/terms/" xmlns:xsi="http://www.w3.org/2001/XMLSchema-instance" xsi:type="dcterms:W3CDTF">2026-08-04T17:27:07Z</dcterms:modified>
</cp:coreProperties>
</file>